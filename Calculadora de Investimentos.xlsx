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BA3E9EDA-468D-4C81-A173-E7A56EEA141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  <sheet name="Planilha2" sheetId="2" r:id="rId2"/>
  </sheets>
  <definedNames>
    <definedName name="aporte">Planilha1!$D$23:$D$23</definedName>
    <definedName name="patrimonio">Planilha1!$D$26:$D$26</definedName>
    <definedName name="qtd_anos">Planilha1!$D$24:$D$24</definedName>
    <definedName name="rendimento_carteira">Planilha1!$D$19:$D$19</definedName>
    <definedName name="salario">Planilha1!$D$18:$D$18</definedName>
    <definedName name="sugetao_investimento">Planilha1!$D$20:$D$20</definedName>
    <definedName name="taxa_mensal">Planilha1!$D$25:$D$25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 a="1"/>
  <c r="D20" i="1"/>
  <c r="D37" i="1"/>
  <c r="D41" i="1"/>
  <c r="D42" i="1"/>
  <c r="D43" i="1"/>
  <c r="D44" i="1"/>
  <c r="D45" i="1"/>
  <c r="D40" i="1"/>
  <c r="J5" i="2"/>
  <c r="B16" i="2"/>
  <c r="B17" i="2"/>
  <c r="B18" i="2"/>
  <c r="B19" i="2"/>
  <c r="B20" i="2"/>
  <c r="B15" i="2"/>
  <c r="B10" i="2"/>
  <c r="B11" i="2"/>
  <c r="B12" i="2"/>
  <c r="B13" i="2"/>
  <c r="B14" i="2"/>
  <c r="B9" i="2"/>
  <c r="B8" i="2"/>
  <c r="B4" i="2"/>
  <c r="B5" i="2"/>
  <c r="B6" i="2"/>
  <c r="B7" i="2"/>
  <c r="B3" i="2"/>
  <c r="D26" i="1" a="1"/>
  <c r="D26" i="1"/>
  <c r="D27" i="1" s="1" a="1"/>
  <c r="D27" i="1" s="1"/>
  <c r="D32" i="1"/>
  <c r="E32" i="1" s="1"/>
  <c r="D33" i="1"/>
  <c r="E33" i="1" s="1"/>
  <c r="D34" i="1"/>
  <c r="E34" i="1" s="1"/>
  <c r="D30" i="1"/>
  <c r="E30" i="1" s="1"/>
  <c r="D31" i="1"/>
  <c r="E31" i="1" s="1"/>
  <c r="E41" i="1" l="1"/>
  <c r="E42" i="1"/>
  <c r="E43" i="1"/>
  <c r="E44" i="1"/>
  <c r="E45" i="1"/>
  <c r="E40" i="1"/>
  <c r="D4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<sst xmlns="http://schemas.openxmlformats.org/spreadsheetml/2006/main" count="72" uniqueCount="36">
  <si>
    <t>Calculadora de Investimentos IN-BEST</t>
  </si>
  <si>
    <t>Configurações</t>
  </si>
  <si>
    <t>Salário</t>
  </si>
  <si>
    <t>Rendimento da Carteira</t>
  </si>
  <si>
    <t>Sugestão de Investimento (30%)</t>
  </si>
  <si>
    <t>Investimento Mensal</t>
  </si>
  <si>
    <t>Quanto investir Por Mês?</t>
  </si>
  <si>
    <t>Por quantos anos?</t>
  </si>
  <si>
    <t>Qual A Taxa De Rendimento Mensal?</t>
  </si>
  <si>
    <t>O Patrimônio Acumulado Será De</t>
  </si>
  <si>
    <t>Dividendos Mensais</t>
  </si>
  <si>
    <t>Cenários</t>
  </si>
  <si>
    <t>Dividendos</t>
  </si>
  <si>
    <t>Quanto Renderá Em 2 Anos?</t>
  </si>
  <si>
    <t>Quanto Renderá Em 5 Anos?</t>
  </si>
  <si>
    <t>Quanto Renderá Em 10 Anos?</t>
  </si>
  <si>
    <t>Quanto Renderá Em 20 Anos?</t>
  </si>
  <si>
    <t>Quanto Renderá Em 30 Anos?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</si>
  <si>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</si>
  <si>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</si>
  <si>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</si>
  <si>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</si>
  <si>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</si>
  <si>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</si>
  <si>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</si>
  <si>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</si>
  <si>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</si>
  <si>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</si>
  <si>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</si>
  <si>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</si>
  <si>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Total</t>
  </si>
  <si>
    <t>chave</t>
  </si>
  <si>
    <t>Porcentagem</t>
  </si>
  <si>
    <t>Conservador</t>
  </si>
  <si>
    <t>Moderado-Tijolo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</si>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</sst>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8C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2C9C3"/>
        <bgColor indexed="64"/>
      </patternFill>
    </fill>
    <fill>
      <patternFill patternType="solid">
        <fgColor rgb="FFDCE9F8"/>
        <bgColor indexed="64"/>
      </patternFill>
    </fill>
    <fill>
      <patternFill patternType="solid">
        <fgColor rgb="FFDAE9F8"/>
        <bgColor indexed="64"/>
      </patternFill>
    </fill>
  </fills>
  <borders count="3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rgb="FF000000"/>
      </left>
      <right style="thin">
        <color theme="2" tint="-0.249977111117893"/>
      </right>
      <top style="medium">
        <color rgb="FF000000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rgb="FF000000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rgb="FF000000"/>
      </right>
      <top style="medium">
        <color rgb="FF000000"/>
      </top>
      <bottom style="thin">
        <color theme="2" tint="-0.249977111117893"/>
      </bottom>
      <diagonal/>
    </border>
    <border>
      <left style="medium">
        <color rgb="FF000000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rgb="FF000000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rgb="FF000000"/>
      </left>
      <right style="thin">
        <color theme="2" tint="-0.249977111117893"/>
      </right>
      <top style="thin">
        <color theme="2" tint="-0.249977111117893"/>
      </top>
      <bottom style="medium">
        <color rgb="FF000000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rgb="FF000000"/>
      </bottom>
      <diagonal/>
    </border>
    <border>
      <left style="thin">
        <color theme="2" tint="-0.249977111117893"/>
      </left>
      <right style="medium">
        <color rgb="FF000000"/>
      </right>
      <top style="thin">
        <color theme="2" tint="-0.249977111117893"/>
      </top>
      <bottom style="medium">
        <color rgb="FF000000"/>
      </bottom>
      <diagonal/>
    </border>
    <border>
      <left style="medium">
        <color rgb="FF000000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medium">
        <color rgb="FF000000"/>
      </left>
      <right/>
      <top style="thin">
        <color theme="2" tint="-0.249977111117893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theme="2" tint="-0.249977111117893"/>
      </bottom>
      <diagonal/>
    </border>
    <border>
      <left/>
      <right/>
      <top style="medium">
        <color rgb="FF000000"/>
      </top>
      <bottom style="thin">
        <color theme="2" tint="-0.249977111117893"/>
      </bottom>
      <diagonal/>
    </border>
    <border>
      <left/>
      <right style="medium">
        <color rgb="FF000000"/>
      </right>
      <top style="medium">
        <color rgb="FF000000"/>
      </top>
      <bottom style="thin">
        <color theme="2" tint="-0.249977111117893"/>
      </bottom>
      <diagonal/>
    </border>
    <border>
      <left style="medium">
        <color rgb="FF000000"/>
      </left>
      <right style="thin">
        <color theme="2" tint="-9.9978637043366805E-2"/>
      </right>
      <top style="medium">
        <color rgb="FF000000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rgb="FF000000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rgb="FF000000"/>
      </right>
      <top style="medium">
        <color rgb="FF000000"/>
      </top>
      <bottom style="thin">
        <color theme="2" tint="-9.9978637043366805E-2"/>
      </bottom>
      <diagonal/>
    </border>
    <border>
      <left style="medium">
        <color rgb="FF000000"/>
      </left>
      <right style="thin">
        <color theme="2" tint="-9.9978637043366805E-2"/>
      </right>
      <top style="thin">
        <color theme="2" tint="-9.9978637043366805E-2"/>
      </top>
      <bottom style="medium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rgb="FF000000"/>
      </bottom>
      <diagonal/>
    </border>
    <border>
      <left style="thin">
        <color theme="2" tint="-9.9978637043366805E-2"/>
      </left>
      <right style="medium">
        <color rgb="FF000000"/>
      </right>
      <top style="thin">
        <color theme="2" tint="-9.9978637043366805E-2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5" borderId="0" xfId="0" applyFill="1"/>
    <xf numFmtId="0" fontId="0" fillId="5" borderId="0" xfId="0" applyFill="1" applyBorder="1"/>
    <xf numFmtId="0" fontId="0" fillId="5" borderId="5" xfId="0" applyFill="1" applyBorder="1"/>
    <xf numFmtId="0" fontId="0" fillId="5" borderId="4" xfId="0" applyFill="1" applyBorder="1"/>
    <xf numFmtId="0" fontId="0" fillId="5" borderId="2" xfId="0" applyFill="1" applyBorder="1"/>
    <xf numFmtId="0" fontId="0" fillId="5" borderId="0" xfId="0" applyFill="1" applyBorder="1" applyAlignment="1">
      <alignment wrapText="1"/>
    </xf>
    <xf numFmtId="0" fontId="2" fillId="6" borderId="20" xfId="0" applyFont="1" applyFill="1" applyBorder="1" applyAlignment="1">
      <alignment horizontal="left" vertical="center"/>
    </xf>
    <xf numFmtId="0" fontId="0" fillId="7" borderId="10" xfId="0" applyFill="1" applyBorder="1" applyAlignment="1">
      <alignment horizontal="center"/>
    </xf>
    <xf numFmtId="0" fontId="0" fillId="7" borderId="10" xfId="0" applyFill="1" applyBorder="1" applyAlignment="1">
      <alignment horizontal="center" wrapText="1"/>
    </xf>
    <xf numFmtId="0" fontId="0" fillId="7" borderId="12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23" xfId="0" applyFill="1" applyBorder="1" applyAlignment="1">
      <alignment horizontal="center" wrapText="1"/>
    </xf>
    <xf numFmtId="9" fontId="0" fillId="7" borderId="6" xfId="0" applyNumberFormat="1" applyFill="1" applyBorder="1" applyAlignment="1">
      <alignment horizontal="center"/>
    </xf>
    <xf numFmtId="164" fontId="0" fillId="7" borderId="11" xfId="0" applyNumberFormat="1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 wrapText="1"/>
    </xf>
    <xf numFmtId="0" fontId="0" fillId="11" borderId="0" xfId="0" applyFill="1"/>
    <xf numFmtId="0" fontId="0" fillId="5" borderId="26" xfId="0" applyFill="1" applyBorder="1"/>
    <xf numFmtId="0" fontId="0" fillId="12" borderId="26" xfId="0" applyFill="1" applyBorder="1"/>
    <xf numFmtId="0" fontId="0" fillId="5" borderId="27" xfId="0" applyFill="1" applyBorder="1"/>
    <xf numFmtId="0" fontId="0" fillId="5" borderId="28" xfId="0" applyFill="1" applyBorder="1" applyAlignment="1">
      <alignment wrapText="1"/>
    </xf>
    <xf numFmtId="0" fontId="0" fillId="5" borderId="28" xfId="0" applyFill="1" applyBorder="1"/>
    <xf numFmtId="8" fontId="0" fillId="7" borderId="6" xfId="0" applyNumberFormat="1" applyFill="1" applyBorder="1" applyAlignment="1">
      <alignment horizontal="center"/>
    </xf>
    <xf numFmtId="8" fontId="0" fillId="7" borderId="11" xfId="0" applyNumberFormat="1" applyFill="1" applyBorder="1" applyAlignment="1">
      <alignment horizontal="center"/>
    </xf>
    <xf numFmtId="8" fontId="0" fillId="7" borderId="13" xfId="0" applyNumberFormat="1" applyFill="1" applyBorder="1" applyAlignment="1">
      <alignment horizontal="center"/>
    </xf>
    <xf numFmtId="8" fontId="0" fillId="7" borderId="14" xfId="0" applyNumberFormat="1" applyFill="1" applyBorder="1" applyAlignment="1">
      <alignment horizontal="center"/>
    </xf>
    <xf numFmtId="0" fontId="0" fillId="12" borderId="4" xfId="0" applyFill="1" applyBorder="1"/>
    <xf numFmtId="0" fontId="0" fillId="12" borderId="5" xfId="0" applyFill="1" applyBorder="1"/>
    <xf numFmtId="0" fontId="0" fillId="12" borderId="1" xfId="0" applyFill="1" applyBorder="1"/>
    <xf numFmtId="0" fontId="3" fillId="12" borderId="0" xfId="0" applyFont="1" applyFill="1" applyAlignment="1">
      <alignment horizontal="left" vertical="center"/>
    </xf>
    <xf numFmtId="0" fontId="0" fillId="12" borderId="3" xfId="0" applyFill="1" applyBorder="1"/>
    <xf numFmtId="0" fontId="0" fillId="5" borderId="32" xfId="0" applyFill="1" applyBorder="1"/>
    <xf numFmtId="0" fontId="3" fillId="6" borderId="29" xfId="0" applyFont="1" applyFill="1" applyBorder="1" applyAlignment="1">
      <alignment horizontal="left" vertical="center"/>
    </xf>
    <xf numFmtId="0" fontId="3" fillId="6" borderId="30" xfId="0" applyFont="1" applyFill="1" applyBorder="1" applyAlignment="1">
      <alignment horizontal="left" vertical="center"/>
    </xf>
    <xf numFmtId="0" fontId="3" fillId="6" borderId="31" xfId="0" applyFont="1" applyFill="1" applyBorder="1" applyAlignment="1">
      <alignment horizontal="left" vertical="center"/>
    </xf>
    <xf numFmtId="0" fontId="3" fillId="4" borderId="17" xfId="0" applyFont="1" applyFill="1" applyBorder="1" applyAlignment="1">
      <alignment vertical="center"/>
    </xf>
    <xf numFmtId="0" fontId="3" fillId="4" borderId="18" xfId="0" applyFont="1" applyFill="1" applyBorder="1" applyAlignment="1">
      <alignment vertical="center"/>
    </xf>
    <xf numFmtId="0" fontId="3" fillId="4" borderId="19" xfId="0" applyFont="1" applyFill="1" applyBorder="1" applyAlignment="1">
      <alignment vertical="center"/>
    </xf>
    <xf numFmtId="0" fontId="3" fillId="2" borderId="17" xfId="0" applyFont="1" applyFill="1" applyBorder="1" applyAlignment="1"/>
    <xf numFmtId="0" fontId="3" fillId="2" borderId="18" xfId="0" applyFont="1" applyFill="1" applyBorder="1" applyAlignment="1"/>
    <xf numFmtId="0" fontId="3" fillId="2" borderId="19" xfId="0" applyFont="1" applyFill="1" applyBorder="1" applyAlignment="1"/>
    <xf numFmtId="0" fontId="3" fillId="9" borderId="7" xfId="0" applyFont="1" applyFill="1" applyBorder="1" applyAlignment="1">
      <alignment vertical="center"/>
    </xf>
    <xf numFmtId="0" fontId="3" fillId="9" borderId="8" xfId="0" applyFont="1" applyFill="1" applyBorder="1" applyAlignment="1">
      <alignment vertical="center"/>
    </xf>
    <xf numFmtId="164" fontId="0" fillId="7" borderId="13" xfId="0" applyNumberFormat="1" applyFill="1" applyBorder="1" applyAlignment="1">
      <alignment horizontal="center"/>
    </xf>
    <xf numFmtId="164" fontId="0" fillId="7" borderId="14" xfId="0" applyNumberFormat="1" applyFill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0" fontId="0" fillId="0" borderId="6" xfId="0" applyNumberFormat="1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164" fontId="0" fillId="10" borderId="13" xfId="0" applyNumberFormat="1" applyFill="1" applyBorder="1" applyAlignment="1">
      <alignment horizontal="center"/>
    </xf>
    <xf numFmtId="164" fontId="0" fillId="10" borderId="14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0" fontId="0" fillId="3" borderId="6" xfId="0" applyNumberFormat="1" applyFill="1" applyBorder="1" applyAlignment="1">
      <alignment horizontal="center"/>
    </xf>
    <xf numFmtId="10" fontId="0" fillId="3" borderId="11" xfId="0" applyNumberFormat="1" applyFill="1" applyBorder="1" applyAlignment="1">
      <alignment horizontal="center"/>
    </xf>
    <xf numFmtId="8" fontId="0" fillId="7" borderId="6" xfId="0" applyNumberFormat="1" applyFill="1" applyBorder="1" applyAlignment="1">
      <alignment horizontal="center"/>
    </xf>
    <xf numFmtId="8" fontId="0" fillId="7" borderId="11" xfId="0" applyNumberFormat="1" applyFill="1" applyBorder="1" applyAlignment="1">
      <alignment horizontal="center"/>
    </xf>
    <xf numFmtId="8" fontId="0" fillId="7" borderId="13" xfId="0" applyNumberFormat="1" applyFill="1" applyBorder="1" applyAlignment="1">
      <alignment horizontal="center"/>
    </xf>
    <xf numFmtId="8" fontId="0" fillId="7" borderId="14" xfId="0" applyNumberFormat="1" applyFill="1" applyBorder="1" applyAlignment="1">
      <alignment horizontal="center"/>
    </xf>
    <xf numFmtId="0" fontId="4" fillId="6" borderId="21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164" fontId="0" fillId="7" borderId="24" xfId="0" applyNumberFormat="1" applyFill="1" applyBorder="1" applyAlignment="1">
      <alignment horizontal="center"/>
    </xf>
    <xf numFmtId="164" fontId="0" fillId="7" borderId="25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AE9F8"/>
      <color rgb="FFDCE9F8"/>
      <color rgb="FFC2C9C3"/>
      <color rgb="FFA0A8A2"/>
      <color rgb="FFC0C8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63-4768-8117-7E354C2D13DC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63-4768-8117-7E354C2D13DC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63-4768-8117-7E354C2D13DC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63-4768-8117-7E354C2D13DC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563-4768-8117-7E354C2D13DC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563-4768-8117-7E354C2D13DC}"/>
              </c:ext>
            </c:extLst>
          </c:dPt>
          <c:cat>
            <c:strRef>
              <c:f>Planilha1!$C$40:$C$45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02-4B0B-8DA9-C9BD59D875C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563-4768-8117-7E354C2D13DC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563-4768-8117-7E354C2D13DC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563-4768-8117-7E354C2D13DC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563-4768-8117-7E354C2D13DC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563-4768-8117-7E354C2D13DC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563-4768-8117-7E354C2D13DC}"/>
              </c:ext>
            </c:extLst>
          </c:dPt>
          <c:cat>
            <c:strRef>
              <c:f>Planilha1!$C$40:$C$45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Planilha1!$D$40:$D$45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02-4B0B-8DA9-C9BD59D875C5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563-4768-8117-7E354C2D13DC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563-4768-8117-7E354C2D13DC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563-4768-8117-7E354C2D13DC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563-4768-8117-7E354C2D13DC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563-4768-8117-7E354C2D13DC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563-4768-8117-7E354C2D13DC}"/>
              </c:ext>
            </c:extLst>
          </c:dPt>
          <c:cat>
            <c:strRef>
              <c:f>Planilha1!$C$40:$C$45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Planilha1!$E$40:$E$45</c:f>
              <c:numCache>
                <c:formatCode>"R$"\ #,##0.00</c:formatCode>
                <c:ptCount val="6"/>
                <c:pt idx="0">
                  <c:v>350</c:v>
                </c:pt>
                <c:pt idx="1">
                  <c:v>70</c:v>
                </c:pt>
                <c:pt idx="2">
                  <c:v>35</c:v>
                </c:pt>
                <c:pt idx="3">
                  <c:v>35</c:v>
                </c:pt>
                <c:pt idx="4">
                  <c:v>140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02-4B0B-8DA9-C9BD59D87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1"/>
          <c:order val="0"/>
          <c:tx>
            <c:strRef>
              <c:f>{"Investido"}</c:f>
              <c:strCache>
                <c:ptCount val="1"/>
                <c:pt idx="0">
                  <c:v>Investido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39-4595-B81D-C60363DA12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39-4595-B81D-C60363DA12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39-4595-B81D-C60363DA12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39-4595-B81D-C60363DA12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F39-4595-B81D-C60363DA12A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F39-4595-B81D-C60363DA12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|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Planilha1!C40:C45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Planilha1!$E$40:$E$45</c:f>
              <c:numCache>
                <c:formatCode>"R$"\ #,##0.00</c:formatCode>
                <c:ptCount val="6"/>
                <c:pt idx="0">
                  <c:v>350</c:v>
                </c:pt>
                <c:pt idx="1">
                  <c:v>70</c:v>
                </c:pt>
                <c:pt idx="2">
                  <c:v>35</c:v>
                </c:pt>
                <c:pt idx="3">
                  <c:v>35</c:v>
                </c:pt>
                <c:pt idx="4">
                  <c:v>140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F39-4595-B81D-C60363DA1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1343025</xdr:colOff>
      <xdr:row>0</xdr:row>
      <xdr:rowOff>0</xdr:rowOff>
    </xdr:from>
    <xdr:to>
      <xdr:col>5</xdr:col>
      <xdr:colOff>0</xdr:colOff>
      <xdr:row>13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417F908-E565-D040-7A23-5E58F653E39A}"/>
            </a:ext>
            <a:ext uri="{147F2762-F138-4A5C-976F-8EAC2B608ADB}">
              <a16:predDERef xmlns:a16="http://schemas.microsoft.com/office/drawing/2014/main" pred="{3BD0B4DB-75C5-4D20-AB2A-6ACD36445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3025" y="0"/>
          <a:ext cx="5029200" cy="2657475"/>
        </a:xfrm>
        <a:prstGeom prst="rect">
          <a:avLst/>
        </a:prstGeom>
      </xdr:spPr>
    </xdr:pic>
    <xdr:clientData/>
  </xdr:twoCellAnchor>
  <xdr:twoCellAnchor>
    <xdr:from>
      <xdr:col>16384</xdr:col>
      <xdr:colOff>190500</xdr:colOff>
      <xdr:row>8</xdr:row>
      <xdr:rowOff>247650</xdr:rowOff>
    </xdr:from>
    <xdr:to>
      <xdr:col>16384</xdr:col>
      <xdr:colOff>3257550</xdr:colOff>
      <xdr:row>22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3763D4-BC61-31DF-36F7-E9E085282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46</xdr:row>
      <xdr:rowOff>171450</xdr:rowOff>
    </xdr:from>
    <xdr:to>
      <xdr:col>4</xdr:col>
      <xdr:colOff>1104900</xdr:colOff>
      <xdr:row>62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BD0B4DB-75C5-4D20-AB2A-6ACD36445F38}"/>
            </a:ext>
            <a:ext uri="{147F2762-F138-4A5C-976F-8EAC2B608ADB}">
              <a16:predDERef xmlns:a16="http://schemas.microsoft.com/office/drawing/2014/main" pred="{E73763D4-BC61-31DF-36F7-E9E085282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21E3DF-E491-4D87-9559-8FE95D9E1D98}">
  <we:reference id="WA200005502" version="1.0.0.12" store="en-US" storeType="omex"/>
  <we:alternateReferences>
    <we:reference id="WA200005502" version="1.0.0.12" store="en-US" storeType="omex"/>
  </we:alternateReferences>
  <we:properties>
    <we:property name="docId" value="&quot;tO0NbPyDcPkSAlkvKhvH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69"/>
  <sheetViews>
    <sheetView showGridLines="0" tabSelected="1" topLeftCell="B1" workbookViewId="0">
      <selection activeCell="F6" sqref="F6"/>
    </sheetView>
  </sheetViews>
  <sheetFormatPr defaultColWidth="0" defaultRowHeight="0" customHeight="1" zeroHeight="1"/>
  <cols>
    <col min="2" max="2" width="20.28515625" customWidth="1"/>
    <col min="3" max="3" width="39.42578125" customWidth="1"/>
    <col min="4" max="4" width="19.140625" customWidth="1"/>
    <col min="5" max="5" width="16.7109375" customWidth="1"/>
    <col min="6" max="6" width="20.28515625" customWidth="1"/>
    <col min="10" max="10" width="26" hidden="1"/>
    <col min="11" max="11" width="14.42578125" hidden="1"/>
    <col min="12" max="13" width="13.28515625" hidden="1"/>
    <col min="15" max="15" width="26" hidden="1"/>
    <col min="16" max="16" width="14.42578125" hidden="1"/>
    <col min="17" max="18" width="13.28515625" hidden="1"/>
  </cols>
  <sheetData>
    <row r="1" spans="2:6" ht="15">
      <c r="B1" s="35"/>
      <c r="C1" s="7"/>
      <c r="D1" s="7"/>
      <c r="E1" s="7"/>
      <c r="F1" s="37"/>
    </row>
    <row r="2" spans="2:6" ht="15">
      <c r="B2" s="33"/>
      <c r="C2" s="3"/>
      <c r="D2" s="3"/>
      <c r="E2" s="3"/>
      <c r="F2" s="34"/>
    </row>
    <row r="3" spans="2:6" ht="15">
      <c r="B3" s="33"/>
      <c r="C3" s="3"/>
      <c r="D3" s="3"/>
      <c r="E3" s="3"/>
      <c r="F3" s="34"/>
    </row>
    <row r="4" spans="2:6" ht="15">
      <c r="B4" s="33"/>
      <c r="C4" s="3"/>
      <c r="D4" s="3"/>
      <c r="E4" s="3"/>
      <c r="F4" s="34"/>
    </row>
    <row r="5" spans="2:6" ht="15">
      <c r="B5" s="33"/>
      <c r="C5" s="3"/>
      <c r="D5" s="3"/>
      <c r="E5" s="3"/>
      <c r="F5" s="34"/>
    </row>
    <row r="6" spans="2:6" ht="15">
      <c r="B6" s="33"/>
      <c r="C6" s="3"/>
      <c r="D6" s="3"/>
      <c r="E6" s="3"/>
      <c r="F6" s="34"/>
    </row>
    <row r="7" spans="2:6" ht="15">
      <c r="B7" s="33"/>
      <c r="C7" s="3"/>
      <c r="D7" s="3"/>
      <c r="E7" s="3"/>
      <c r="F7" s="34"/>
    </row>
    <row r="8" spans="2:6" ht="15">
      <c r="B8" s="33"/>
      <c r="C8" s="3"/>
      <c r="D8" s="3"/>
      <c r="E8" s="3"/>
      <c r="F8" s="34"/>
    </row>
    <row r="9" spans="2:6" ht="15">
      <c r="B9" s="33"/>
      <c r="C9" s="3"/>
      <c r="D9" s="3"/>
      <c r="E9" s="3"/>
      <c r="F9" s="34"/>
    </row>
    <row r="10" spans="2:6" ht="15">
      <c r="B10" s="33"/>
      <c r="C10" s="3"/>
      <c r="D10" s="3"/>
      <c r="E10" s="3"/>
      <c r="F10" s="34"/>
    </row>
    <row r="11" spans="2:6" ht="15">
      <c r="B11" s="33"/>
      <c r="C11" s="3"/>
      <c r="D11" s="3"/>
      <c r="E11" s="3"/>
      <c r="F11" s="34"/>
    </row>
    <row r="12" spans="2:6" ht="15">
      <c r="B12" s="33"/>
      <c r="C12" s="3"/>
      <c r="D12" s="3"/>
      <c r="E12" s="3"/>
      <c r="F12" s="34"/>
    </row>
    <row r="13" spans="2:6" ht="15">
      <c r="B13" s="33"/>
      <c r="C13" s="3"/>
      <c r="D13" s="3"/>
      <c r="E13" s="3"/>
      <c r="F13" s="34"/>
    </row>
    <row r="14" spans="2:6" ht="15">
      <c r="B14" s="33"/>
      <c r="C14" s="3"/>
      <c r="D14" s="3"/>
      <c r="E14" s="3"/>
      <c r="F14" s="34"/>
    </row>
    <row r="15" spans="2:6" ht="24">
      <c r="B15" s="33"/>
      <c r="C15" s="39" t="s">
        <v>0</v>
      </c>
      <c r="D15" s="40"/>
      <c r="E15" s="41"/>
      <c r="F15" s="34"/>
    </row>
    <row r="16" spans="2:6" ht="15" customHeight="1">
      <c r="B16" s="33"/>
      <c r="C16" s="36"/>
      <c r="D16" s="36"/>
      <c r="E16" s="36"/>
      <c r="F16" s="34"/>
    </row>
    <row r="17" spans="2:6" ht="24.75" customHeight="1">
      <c r="B17" s="6"/>
      <c r="C17" s="42" t="s">
        <v>1</v>
      </c>
      <c r="D17" s="43"/>
      <c r="E17" s="44"/>
      <c r="F17" s="5"/>
    </row>
    <row r="18" spans="2:6" ht="15">
      <c r="B18" s="6"/>
      <c r="C18" s="13" t="s">
        <v>2</v>
      </c>
      <c r="D18" s="52">
        <v>2500</v>
      </c>
      <c r="E18" s="53"/>
      <c r="F18" s="5"/>
    </row>
    <row r="19" spans="2:6" ht="15">
      <c r="B19" s="6"/>
      <c r="C19" s="18" t="s">
        <v>3</v>
      </c>
      <c r="D19" s="54">
        <v>0.01</v>
      </c>
      <c r="E19" s="55"/>
      <c r="F19" s="5"/>
    </row>
    <row r="20" spans="2:6" ht="15">
      <c r="B20" s="6"/>
      <c r="C20" s="14" t="s">
        <v>4</v>
      </c>
      <c r="D20" s="56" cm="1">
        <f t="array" ref="D20">salario*0.3</f>
        <v>750</v>
      </c>
      <c r="E20" s="57"/>
      <c r="F20" s="5"/>
    </row>
    <row r="21" spans="2:6" ht="15">
      <c r="B21" s="6"/>
      <c r="C21" s="3"/>
      <c r="D21" s="3"/>
      <c r="E21" s="3"/>
      <c r="F21" s="5"/>
    </row>
    <row r="22" spans="2:6" ht="24">
      <c r="B22" s="6"/>
      <c r="C22" s="45" t="s">
        <v>5</v>
      </c>
      <c r="D22" s="46"/>
      <c r="E22" s="47"/>
      <c r="F22" s="5"/>
    </row>
    <row r="23" spans="2:6" ht="15">
      <c r="B23" s="6"/>
      <c r="C23" s="13" t="s">
        <v>6</v>
      </c>
      <c r="D23" s="58">
        <v>700</v>
      </c>
      <c r="E23" s="59"/>
      <c r="F23" s="5"/>
    </row>
    <row r="24" spans="2:6" ht="15" customHeight="1">
      <c r="B24" s="6"/>
      <c r="C24" s="13" t="s">
        <v>7</v>
      </c>
      <c r="D24" s="60">
        <v>2</v>
      </c>
      <c r="E24" s="61"/>
      <c r="F24" s="5"/>
    </row>
    <row r="25" spans="2:6" ht="15" customHeight="1">
      <c r="B25" s="6"/>
      <c r="C25" s="13" t="s">
        <v>8</v>
      </c>
      <c r="D25" s="62">
        <v>0.01</v>
      </c>
      <c r="E25" s="63"/>
      <c r="F25" s="5"/>
    </row>
    <row r="26" spans="2:6" ht="15">
      <c r="B26" s="6"/>
      <c r="C26" s="13" t="s">
        <v>9</v>
      </c>
      <c r="D26" s="64" cm="1">
        <f t="array" ref="D26">FV(taxa_mensal,qtd_anos*12,aporte*-1)</f>
        <v>18881.425397234048</v>
      </c>
      <c r="E26" s="65"/>
      <c r="F26" s="5"/>
    </row>
    <row r="27" spans="2:6" ht="15">
      <c r="B27" s="6"/>
      <c r="C27" s="14" t="s">
        <v>10</v>
      </c>
      <c r="D27" s="66" cm="1">
        <f t="array" ref="D27">patrimonio*D19</f>
        <v>188.81425397234048</v>
      </c>
      <c r="E27" s="67"/>
      <c r="F27" s="5"/>
    </row>
    <row r="28" spans="2:6" ht="15">
      <c r="B28" s="6"/>
      <c r="C28" s="3"/>
      <c r="D28" s="3"/>
      <c r="E28" s="3"/>
      <c r="F28" s="5"/>
    </row>
    <row r="29" spans="2:6" ht="24">
      <c r="B29" s="6"/>
      <c r="C29" s="48" t="s">
        <v>11</v>
      </c>
      <c r="D29" s="49"/>
      <c r="E29" s="22" t="s">
        <v>12</v>
      </c>
      <c r="F29" s="5"/>
    </row>
    <row r="30" spans="2:6" ht="15">
      <c r="B30" s="6"/>
      <c r="C30" s="13" t="s">
        <v>13</v>
      </c>
      <c r="D30" s="29">
        <f>FV($D$25,$I33*12,$D$23*-1)</f>
        <v>18881.425397234048</v>
      </c>
      <c r="E30" s="30">
        <f>D30*$D$19</f>
        <v>188.81425397234048</v>
      </c>
      <c r="F30" s="5"/>
    </row>
    <row r="31" spans="2:6" ht="15">
      <c r="B31" s="6"/>
      <c r="C31" s="13" t="s">
        <v>14</v>
      </c>
      <c r="D31" s="29">
        <f>FV($D$25,$I34*12,$D$23*-1)</f>
        <v>57168.768899486393</v>
      </c>
      <c r="E31" s="30">
        <f>D31*$D$19</f>
        <v>571.68768899486395</v>
      </c>
      <c r="F31" s="5"/>
    </row>
    <row r="32" spans="2:6" ht="15">
      <c r="B32" s="6"/>
      <c r="C32" s="13" t="s">
        <v>15</v>
      </c>
      <c r="D32" s="29">
        <f>FV($D$25,$I35*12,$D$23*-1)</f>
        <v>161027.0826201569</v>
      </c>
      <c r="E32" s="30">
        <f>D32*$D$19</f>
        <v>1610.270826201569</v>
      </c>
      <c r="F32" s="5"/>
    </row>
    <row r="33" spans="2:9" ht="15">
      <c r="B33" s="6"/>
      <c r="C33" s="13" t="s">
        <v>16</v>
      </c>
      <c r="D33" s="29">
        <f>FV($D$25,$I46*12,$D$23*-1)</f>
        <v>692478.75577115407</v>
      </c>
      <c r="E33" s="30">
        <f>D33*$D$19</f>
        <v>6924.787557711541</v>
      </c>
      <c r="F33" s="5"/>
      <c r="I33" s="1">
        <v>2</v>
      </c>
    </row>
    <row r="34" spans="2:9" ht="15">
      <c r="B34" s="6"/>
      <c r="C34" s="14" t="s">
        <v>17</v>
      </c>
      <c r="D34" s="31">
        <f>FV($D$25,$I65*12,$D$23*-1)</f>
        <v>2446474.8929379545</v>
      </c>
      <c r="E34" s="32">
        <f>D34*$D$19</f>
        <v>24464.748929379544</v>
      </c>
      <c r="F34" s="5"/>
      <c r="I34" s="1">
        <v>5</v>
      </c>
    </row>
    <row r="35" spans="2:9" ht="15">
      <c r="B35" s="6"/>
      <c r="C35" s="3"/>
      <c r="D35" s="3"/>
      <c r="E35" s="3"/>
      <c r="F35" s="5"/>
      <c r="I35" s="1">
        <v>10</v>
      </c>
    </row>
    <row r="36" spans="2:9" ht="21">
      <c r="B36" s="6"/>
      <c r="C36" s="9" t="s">
        <v>18</v>
      </c>
      <c r="D36" s="68" t="s">
        <v>19</v>
      </c>
      <c r="E36" s="69"/>
      <c r="F36" s="5"/>
      <c r="I36" s="1"/>
    </row>
    <row r="37" spans="2:9" ht="15" customHeight="1">
      <c r="B37" s="6"/>
      <c r="C37" s="15" t="s">
        <v>20</v>
      </c>
      <c r="D37" s="70">
        <f>D23</f>
        <v>700</v>
      </c>
      <c r="E37" s="71"/>
      <c r="F37" s="5"/>
      <c r="I37" s="1"/>
    </row>
    <row r="38" spans="2:9" ht="15">
      <c r="B38" s="6"/>
      <c r="C38" s="3"/>
      <c r="D38" s="3"/>
      <c r="E38" s="3"/>
      <c r="F38" s="5"/>
      <c r="I38" s="1"/>
    </row>
    <row r="39" spans="2:9" ht="22.5" customHeight="1">
      <c r="B39" s="6"/>
      <c r="C39" s="19" t="s">
        <v>21</v>
      </c>
      <c r="D39" s="20" t="s">
        <v>22</v>
      </c>
      <c r="E39" s="21" t="s">
        <v>23</v>
      </c>
      <c r="F39" s="5"/>
      <c r="I39" s="1"/>
    </row>
    <row r="40" spans="2:9" ht="18" customHeight="1">
      <c r="B40" s="6"/>
      <c r="C40" s="10" t="s">
        <v>24</v>
      </c>
      <c r="D40" s="16">
        <f>VLOOKUP($D$36&amp;"-"&amp;C40,Planilha2!B2:E20,4,FALSE)</f>
        <v>0.5</v>
      </c>
      <c r="E40" s="17">
        <f>$D$37*D40</f>
        <v>350</v>
      </c>
      <c r="F40" s="5"/>
      <c r="I40" s="1"/>
    </row>
    <row r="41" spans="2:9" ht="15">
      <c r="B41" s="6"/>
      <c r="C41" s="10" t="s">
        <v>25</v>
      </c>
      <c r="D41" s="16">
        <f>VLOOKUP($D$36&amp;"-"&amp;C41,Planilha2!B3:E21,4,FALSE)</f>
        <v>0.1</v>
      </c>
      <c r="E41" s="17">
        <f t="shared" ref="E41:E45" si="0">$D$37*D41</f>
        <v>70</v>
      </c>
      <c r="F41" s="5"/>
      <c r="I41" s="1"/>
    </row>
    <row r="42" spans="2:9" ht="15">
      <c r="B42" s="6"/>
      <c r="C42" s="10" t="s">
        <v>26</v>
      </c>
      <c r="D42" s="16">
        <f>VLOOKUP($D$36&amp;"-"&amp;C42,Planilha2!B4:E22,4,FALSE)</f>
        <v>0.05</v>
      </c>
      <c r="E42" s="17">
        <f t="shared" si="0"/>
        <v>35</v>
      </c>
      <c r="F42" s="5"/>
      <c r="I42" s="1"/>
    </row>
    <row r="43" spans="2:9" ht="15">
      <c r="B43" s="6"/>
      <c r="C43" s="10" t="s">
        <v>27</v>
      </c>
      <c r="D43" s="16">
        <f>VLOOKUP($D$36&amp;"-"&amp;C43,Planilha2!B5:E23,4,FALSE)</f>
        <v>0.05</v>
      </c>
      <c r="E43" s="17">
        <f t="shared" si="0"/>
        <v>35</v>
      </c>
      <c r="F43" s="5"/>
      <c r="I43" s="1"/>
    </row>
    <row r="44" spans="2:9" ht="15">
      <c r="B44" s="6"/>
      <c r="C44" s="11" t="s">
        <v>28</v>
      </c>
      <c r="D44" s="16">
        <f>VLOOKUP($D$36&amp;"-"&amp;C44,Planilha2!B6:E24,4,FALSE)</f>
        <v>0.2</v>
      </c>
      <c r="E44" s="17">
        <f t="shared" si="0"/>
        <v>140</v>
      </c>
      <c r="F44" s="5"/>
      <c r="I44" s="1"/>
    </row>
    <row r="45" spans="2:9" ht="15" customHeight="1">
      <c r="B45" s="6"/>
      <c r="C45" s="11" t="s">
        <v>29</v>
      </c>
      <c r="D45" s="16">
        <f>VLOOKUP($D$36&amp;"-"&amp;C45,Planilha2!B7:E25,4,FALSE)</f>
        <v>0.1</v>
      </c>
      <c r="E45" s="17">
        <f t="shared" si="0"/>
        <v>70</v>
      </c>
      <c r="F45" s="5"/>
      <c r="I45" s="1"/>
    </row>
    <row r="46" spans="2:9" ht="15" customHeight="1">
      <c r="B46" s="24"/>
      <c r="C46" s="12" t="s">
        <v>30</v>
      </c>
      <c r="D46" s="50">
        <f>SUM(E40:E45)</f>
        <v>700</v>
      </c>
      <c r="E46" s="51"/>
      <c r="F46" s="34"/>
      <c r="I46" s="1">
        <v>20</v>
      </c>
    </row>
    <row r="47" spans="2:9" ht="15">
      <c r="B47" s="25"/>
      <c r="C47" s="23"/>
      <c r="D47" s="23"/>
      <c r="E47" s="23"/>
      <c r="F47" s="34"/>
      <c r="I47" s="1"/>
    </row>
    <row r="48" spans="2:9" ht="15">
      <c r="B48" s="25"/>
      <c r="C48" s="8"/>
      <c r="D48" s="4"/>
      <c r="E48" s="4"/>
      <c r="F48" s="34"/>
      <c r="I48" s="1"/>
    </row>
    <row r="49" spans="2:9" ht="15">
      <c r="B49" s="25"/>
      <c r="C49" s="8"/>
      <c r="D49" s="4"/>
      <c r="E49" s="4"/>
      <c r="F49" s="34"/>
      <c r="I49" s="1"/>
    </row>
    <row r="50" spans="2:9" ht="15">
      <c r="B50" s="25"/>
      <c r="C50" s="8"/>
      <c r="D50" s="4"/>
      <c r="E50" s="4"/>
      <c r="F50" s="34"/>
      <c r="I50" s="1"/>
    </row>
    <row r="51" spans="2:9" ht="15">
      <c r="B51" s="25"/>
      <c r="C51" s="8"/>
      <c r="D51" s="4"/>
      <c r="E51" s="4"/>
      <c r="F51" s="34"/>
      <c r="I51" s="1"/>
    </row>
    <row r="52" spans="2:9" ht="15">
      <c r="B52" s="25"/>
      <c r="C52" s="8"/>
      <c r="D52" s="4"/>
      <c r="E52" s="4"/>
      <c r="F52" s="34"/>
      <c r="I52" s="1"/>
    </row>
    <row r="53" spans="2:9" ht="15">
      <c r="B53" s="25"/>
      <c r="C53" s="8"/>
      <c r="D53" s="4"/>
      <c r="E53" s="4"/>
      <c r="F53" s="34"/>
      <c r="I53" s="1"/>
    </row>
    <row r="54" spans="2:9" ht="15">
      <c r="B54" s="25"/>
      <c r="C54" s="8"/>
      <c r="D54" s="4"/>
      <c r="E54" s="4"/>
      <c r="F54" s="34"/>
      <c r="I54" s="1"/>
    </row>
    <row r="55" spans="2:9" ht="15">
      <c r="B55" s="25"/>
      <c r="C55" s="8"/>
      <c r="D55" s="4"/>
      <c r="E55" s="4"/>
      <c r="F55" s="34"/>
      <c r="I55" s="1"/>
    </row>
    <row r="56" spans="2:9" ht="15">
      <c r="B56" s="25"/>
      <c r="C56" s="8"/>
      <c r="D56" s="4"/>
      <c r="E56" s="4"/>
      <c r="F56" s="34"/>
      <c r="I56" s="1"/>
    </row>
    <row r="57" spans="2:9" ht="15">
      <c r="B57" s="25"/>
      <c r="C57" s="8"/>
      <c r="D57" s="4"/>
      <c r="E57" s="4"/>
      <c r="F57" s="34"/>
      <c r="I57" s="1"/>
    </row>
    <row r="58" spans="2:9" ht="15">
      <c r="B58" s="25"/>
      <c r="C58" s="8"/>
      <c r="D58" s="4"/>
      <c r="E58" s="4"/>
      <c r="F58" s="34"/>
      <c r="I58" s="1"/>
    </row>
    <row r="59" spans="2:9" ht="15">
      <c r="B59" s="25"/>
      <c r="C59" s="8"/>
      <c r="D59" s="4"/>
      <c r="E59" s="4"/>
      <c r="F59" s="34"/>
      <c r="I59" s="1"/>
    </row>
    <row r="60" spans="2:9" ht="15">
      <c r="B60" s="25"/>
      <c r="C60" s="8"/>
      <c r="D60" s="4"/>
      <c r="E60" s="4"/>
      <c r="F60" s="34"/>
      <c r="I60" s="1"/>
    </row>
    <row r="61" spans="2:9" ht="15">
      <c r="B61" s="25"/>
      <c r="C61" s="8"/>
      <c r="D61" s="4"/>
      <c r="E61" s="4"/>
      <c r="F61" s="34"/>
      <c r="I61" s="1"/>
    </row>
    <row r="62" spans="2:9" ht="15">
      <c r="B62" s="25"/>
      <c r="C62" s="8"/>
      <c r="D62" s="4"/>
      <c r="E62" s="4"/>
      <c r="F62" s="34"/>
      <c r="I62" s="1"/>
    </row>
    <row r="63" spans="2:9" ht="15">
      <c r="B63" s="25"/>
      <c r="C63" s="8"/>
      <c r="D63" s="4"/>
      <c r="E63" s="4"/>
      <c r="F63" s="34"/>
      <c r="I63" s="1"/>
    </row>
    <row r="64" spans="2:9" ht="15">
      <c r="B64" s="26"/>
      <c r="C64" s="27"/>
      <c r="D64" s="28"/>
      <c r="E64" s="28"/>
      <c r="F64" s="38"/>
      <c r="I64" s="1"/>
    </row>
    <row r="65" spans="9:9" ht="15" hidden="1">
      <c r="I65" s="1">
        <v>30</v>
      </c>
    </row>
    <row r="66" spans="9:9" ht="15" hidden="1"/>
    <row r="67" spans="9:9" ht="15" hidden="1"/>
    <row r="68" spans="9:9" ht="15" hidden="1"/>
    <row r="69" spans="9:9" ht="15" hidden="1"/>
  </sheetData>
  <mergeCells count="15">
    <mergeCell ref="C15:E15"/>
    <mergeCell ref="C17:E17"/>
    <mergeCell ref="C22:E22"/>
    <mergeCell ref="C29:D29"/>
    <mergeCell ref="D46:E46"/>
    <mergeCell ref="D18:E18"/>
    <mergeCell ref="D19:E19"/>
    <mergeCell ref="D20:E20"/>
    <mergeCell ref="D23:E23"/>
    <mergeCell ref="D24:E24"/>
    <mergeCell ref="D25:E25"/>
    <mergeCell ref="D26:E26"/>
    <mergeCell ref="D27:E27"/>
    <mergeCell ref="D36:E36"/>
    <mergeCell ref="D37:E37"/>
  </mergeCells>
  <dataValidations count="1">
    <dataValidation type="list" allowBlank="1" showInputMessage="1" showErrorMessage="1" sqref="D36" xr:uid="{5CE16B6E-7891-49D3-9BA1-18A225939AC0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D423-5B05-41B1-B853-B47E0A459443}">
  <dimension ref="B2:J20"/>
  <sheetViews>
    <sheetView workbookViewId="0">
      <selection activeCell="F24" sqref="F24"/>
    </sheetView>
  </sheetViews>
  <sheetFormatPr defaultRowHeight="15"/>
  <cols>
    <col min="2" max="2" width="27.28515625" bestFit="1" customWidth="1"/>
    <col min="3" max="3" width="11.85546875" bestFit="1" customWidth="1"/>
    <col min="4" max="4" width="15.7109375" bestFit="1" customWidth="1"/>
    <col min="5" max="5" width="12.28515625" bestFit="1" customWidth="1"/>
    <col min="9" max="9" width="14.7109375" bestFit="1" customWidth="1"/>
  </cols>
  <sheetData>
    <row r="2" spans="2:10">
      <c r="B2" t="s">
        <v>31</v>
      </c>
      <c r="C2" t="s">
        <v>18</v>
      </c>
      <c r="D2" t="s">
        <v>21</v>
      </c>
      <c r="E2" t="s">
        <v>32</v>
      </c>
    </row>
    <row r="3" spans="2:10">
      <c r="B3" t="str">
        <f>$C$3&amp;"-"&amp;D3</f>
        <v>Conservador-Papel</v>
      </c>
      <c r="C3" t="s">
        <v>33</v>
      </c>
      <c r="D3" t="s">
        <v>24</v>
      </c>
      <c r="E3" s="2">
        <v>0.3</v>
      </c>
    </row>
    <row r="4" spans="2:10">
      <c r="B4" t="str">
        <f t="shared" ref="B4:B8" si="0">$C$3&amp;"-"&amp;D4</f>
        <v>Conservador-Tijolo</v>
      </c>
      <c r="C4" t="s">
        <v>33</v>
      </c>
      <c r="D4" t="s">
        <v>25</v>
      </c>
      <c r="E4" s="2">
        <v>0.5</v>
      </c>
    </row>
    <row r="5" spans="2:10">
      <c r="B5" t="str">
        <f t="shared" si="0"/>
        <v>Conservador-Híbridos</v>
      </c>
      <c r="C5" t="s">
        <v>33</v>
      </c>
      <c r="D5" t="s">
        <v>26</v>
      </c>
      <c r="E5" s="2">
        <v>0.1</v>
      </c>
      <c r="I5" t="s">
        <v>34</v>
      </c>
      <c r="J5" s="2">
        <f>VLOOKUP(B10,B2:E20,4,FALSE)</f>
        <v>0.35</v>
      </c>
    </row>
    <row r="6" spans="2:10">
      <c r="B6" t="str">
        <f t="shared" si="0"/>
        <v>Conservador-FOFs</v>
      </c>
      <c r="C6" t="s">
        <v>33</v>
      </c>
      <c r="D6" t="s">
        <v>27</v>
      </c>
      <c r="E6" s="2">
        <v>0.1</v>
      </c>
    </row>
    <row r="7" spans="2:10">
      <c r="B7" t="str">
        <f t="shared" si="0"/>
        <v>Conservador-Desenvolvimento</v>
      </c>
      <c r="C7" t="s">
        <v>33</v>
      </c>
      <c r="D7" t="s">
        <v>28</v>
      </c>
      <c r="E7" s="2">
        <v>0</v>
      </c>
    </row>
    <row r="8" spans="2:10">
      <c r="B8" t="str">
        <f t="shared" si="0"/>
        <v>Conservador-Hotelarias</v>
      </c>
      <c r="C8" t="s">
        <v>33</v>
      </c>
      <c r="D8" t="s">
        <v>29</v>
      </c>
      <c r="E8" s="2">
        <v>0</v>
      </c>
    </row>
    <row r="9" spans="2:10">
      <c r="B9" t="str">
        <f>$C$9&amp;"-"&amp;D9</f>
        <v>Moderado-Papel</v>
      </c>
      <c r="C9" t="s">
        <v>35</v>
      </c>
      <c r="D9" t="s">
        <v>24</v>
      </c>
      <c r="E9" s="2">
        <v>0.32</v>
      </c>
    </row>
    <row r="10" spans="2:10">
      <c r="B10" t="str">
        <f t="shared" ref="B10:B14" si="1">$C$9&amp;"-"&amp;D10</f>
        <v>Moderado-Tijolo</v>
      </c>
      <c r="C10" t="s">
        <v>35</v>
      </c>
      <c r="D10" t="s">
        <v>25</v>
      </c>
      <c r="E10" s="2">
        <v>0.35</v>
      </c>
    </row>
    <row r="11" spans="2:10">
      <c r="B11" t="str">
        <f t="shared" si="1"/>
        <v>Moderado-Híbridos</v>
      </c>
      <c r="C11" t="s">
        <v>35</v>
      </c>
      <c r="D11" t="s">
        <v>26</v>
      </c>
      <c r="E11" s="2">
        <v>0.8</v>
      </c>
    </row>
    <row r="12" spans="2:10">
      <c r="B12" t="str">
        <f t="shared" si="1"/>
        <v>Moderado-FOFs</v>
      </c>
      <c r="C12" t="s">
        <v>35</v>
      </c>
      <c r="D12" t="s">
        <v>27</v>
      </c>
      <c r="E12" s="2">
        <v>0.05</v>
      </c>
    </row>
    <row r="13" spans="2:10">
      <c r="B13" t="str">
        <f t="shared" si="1"/>
        <v>Moderado-Desenvolvimento</v>
      </c>
      <c r="C13" t="s">
        <v>35</v>
      </c>
      <c r="D13" t="s">
        <v>28</v>
      </c>
      <c r="E13" s="2">
        <v>0.1</v>
      </c>
    </row>
    <row r="14" spans="2:10">
      <c r="B14" t="str">
        <f t="shared" si="1"/>
        <v>Moderado-Hotelarias</v>
      </c>
      <c r="C14" t="s">
        <v>35</v>
      </c>
      <c r="D14" t="s">
        <v>29</v>
      </c>
      <c r="E14" s="2">
        <v>0.1</v>
      </c>
    </row>
    <row r="15" spans="2:10">
      <c r="B15" t="str">
        <f>C15&amp;"-"&amp;D15</f>
        <v>Agressivo-Papel</v>
      </c>
      <c r="C15" t="s">
        <v>19</v>
      </c>
      <c r="D15" t="s">
        <v>24</v>
      </c>
      <c r="E15" s="2">
        <v>0.5</v>
      </c>
    </row>
    <row r="16" spans="2:10">
      <c r="B16" t="str">
        <f t="shared" ref="B16:B20" si="2">C16&amp;"-"&amp;D16</f>
        <v>Agressivo-Tijolo</v>
      </c>
      <c r="C16" t="s">
        <v>19</v>
      </c>
      <c r="D16" t="s">
        <v>25</v>
      </c>
      <c r="E16" s="2">
        <v>0.1</v>
      </c>
    </row>
    <row r="17" spans="2:5">
      <c r="B17" t="str">
        <f t="shared" si="2"/>
        <v>Agressivo-Híbridos</v>
      </c>
      <c r="C17" t="s">
        <v>19</v>
      </c>
      <c r="D17" t="s">
        <v>26</v>
      </c>
      <c r="E17" s="2">
        <v>0.05</v>
      </c>
    </row>
    <row r="18" spans="2:5">
      <c r="B18" t="str">
        <f t="shared" si="2"/>
        <v>Agressivo-FOFs</v>
      </c>
      <c r="C18" t="s">
        <v>19</v>
      </c>
      <c r="D18" t="s">
        <v>27</v>
      </c>
      <c r="E18" s="2">
        <v>0.05</v>
      </c>
    </row>
    <row r="19" spans="2:5">
      <c r="B19" t="str">
        <f t="shared" si="2"/>
        <v>Agressivo-Desenvolvimento</v>
      </c>
      <c r="C19" t="s">
        <v>19</v>
      </c>
      <c r="D19" t="s">
        <v>28</v>
      </c>
      <c r="E19" s="2">
        <v>0.2</v>
      </c>
    </row>
    <row r="20" spans="2:5">
      <c r="B20" t="str">
        <f t="shared" si="2"/>
        <v>Agressivo-Hotelarias</v>
      </c>
      <c r="C20" t="s">
        <v>19</v>
      </c>
      <c r="D20" t="s">
        <v>29</v>
      </c>
      <c r="E20" s="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2025-10-30T11:30:03Z</dcterms:created>
  <dcterms:modified xsi:type="dcterms:W3CDTF">2025-11-01T17:29:15Z</dcterms:modified>
  <cp:category/>
  <cp:contentStatus/>
</cp:coreProperties>
</file>